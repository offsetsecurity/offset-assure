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tatement of Applicability" sheetId="2" state="visible" r:id="rId2"/>
    <sheet xmlns:r="http://schemas.openxmlformats.org/officeDocument/2006/relationships" name="Summary" sheetId="3" state="visible" r:id="rId3"/>
  </sheets>
  <definedNames>
    <definedName name="_xlnm._FilterDatabase" localSheetId="1" hidden="1">'Statement of Applicability'!$A$12:$J$105</definedName>
    <definedName name="_xlnm.Print_Titles" localSheetId="1">'Statement of Applicability'!$12:$12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6"/>
    </font>
    <font>
      <name val="Arial"/>
      <b val="1"/>
      <sz val="10.5"/>
    </font>
    <font>
      <name val="Arial"/>
      <sz val="10.5"/>
    </font>
    <font>
      <name val="Arial"/>
      <b val="1"/>
      <sz val="11.5"/>
    </font>
    <font>
      <name val="Arial"/>
      <i val="1"/>
      <color rgb="005B6678"/>
      <sz val="9.5"/>
    </font>
    <font>
      <name val="Arial"/>
      <b val="1"/>
      <sz val="9.5"/>
    </font>
    <font>
      <name val="Arial"/>
      <sz val="9.5"/>
    </font>
    <font>
      <name val="Arial"/>
      <b val="1"/>
      <color rgb="001B253B"/>
      <sz val="9.5"/>
    </font>
    <font>
      <name val="Arial"/>
      <b val="1"/>
      <sz val="14"/>
    </font>
  </fonts>
  <fills count="4">
    <fill>
      <patternFill/>
    </fill>
    <fill>
      <patternFill patternType="gray125"/>
    </fill>
    <fill>
      <patternFill patternType="solid">
        <fgColor rgb="00DCE6F5"/>
      </patternFill>
    </fill>
    <fill>
      <patternFill patternType="solid">
        <fgColor rgb="00F1F5FA"/>
      </patternFill>
    </fill>
  </fills>
  <borders count="2">
    <border>
      <left/>
      <right/>
      <top/>
      <bottom/>
      <diagonal/>
    </border>
    <border>
      <left style="thin">
        <color rgb="00B8C2D3"/>
      </left>
      <right style="thin">
        <color rgb="00B8C2D3"/>
      </right>
      <top style="thin">
        <color rgb="00B8C2D3"/>
      </top>
      <bottom style="thin">
        <color rgb="00B8C2D3"/>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6" fillId="0" borderId="0" pivotButton="0" quotePrefix="0" xfId="0"/>
    <xf numFmtId="0" fontId="7" fillId="0" borderId="0" pivotButton="0" quotePrefix="0" xfId="0"/>
    <xf numFmtId="0" fontId="8" fillId="2" borderId="1" applyAlignment="1" pivotButton="0" quotePrefix="0" xfId="0">
      <alignment vertical="center" wrapText="1"/>
    </xf>
    <xf numFmtId="0" fontId="7" fillId="3" borderId="1" applyAlignment="1" pivotButton="0" quotePrefix="0" xfId="0">
      <alignment vertical="top" wrapText="1"/>
    </xf>
    <xf numFmtId="0" fontId="7" fillId="0" borderId="1" applyAlignment="1" pivotButton="0" quotePrefix="0" xfId="0">
      <alignment vertical="top" wrapText="1"/>
    </xf>
    <xf numFmtId="0" fontId="9" fillId="0" borderId="0" pivotButton="0" quotePrefix="0" xfId="0"/>
    <xf numFmtId="0" fontId="5" fillId="0" borderId="0" pivotButton="0" quotePrefix="0" xfId="0"/>
    <xf numFmtId="0" fontId="6" fillId="2" borderId="1" pivotButton="0" quotePrefix="0" xfId="0"/>
    <xf numFmtId="0" fontId="7" fillId="0" borderId="1" pivotButton="0" quotePrefix="0" xfId="0"/>
    <xf numFmtId="0" fontId="6" fillId="0" borderId="1" pivotButton="0" quotePrefix="0" xfId="0"/>
  </cellXfs>
  <cellStyles count="1">
    <cellStyle name="Normal" xfId="0" builtinId="0" hidden="0"/>
  </cellStyles>
  <dxfs count="1">
    <dxf>
      <fill>
        <patternFill patternType="solid">
          <fgColor rgb="00FFF59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col>
      <colOff>0</colOff>
      <row>0</row>
      <rowOff>0</rowOff>
    </from>
    <ext cx="104775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04775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3:B20"/>
  <sheetViews>
    <sheetView showGridLines="0" workbookViewId="0">
      <selection activeCell="A1" sqref="A1"/>
    </sheetView>
  </sheetViews>
  <sheetFormatPr baseColWidth="8" defaultRowHeight="15"/>
  <cols>
    <col width="3" customWidth="1" min="1" max="1"/>
    <col width="110" customWidth="1" min="2" max="2"/>
  </cols>
  <sheetData>
    <row r="1" ht="34" customHeight="1"/>
    <row r="3">
      <c r="B3" s="1" t="inlineStr">
        <is>
          <t>Statement of Applicability - template instructions</t>
        </is>
      </c>
    </row>
    <row r="4">
      <c r="B4" s="2" t="inlineStr">
        <is>
          <t>Delete this sheet before you use the workbook.</t>
        </is>
      </c>
    </row>
    <row r="5">
      <c r="B5" s="3" t="inlineStr"/>
    </row>
    <row r="6">
      <c r="B6" s="4" t="inlineStr">
        <is>
          <t>What this is</t>
        </is>
      </c>
    </row>
    <row r="7">
      <c r="B7" s="3" t="inlineStr">
        <is>
          <t>ISO/IEC 27001:2022 requires a Statement of Applicability (clause 6.1.3 d). It lists every control in Annex A, says whether each one applies to your organisation, gives the reason, and says whether it is in place. This workbook has one row for each of the 93 Annex A controls.</t>
        </is>
      </c>
    </row>
    <row r="8">
      <c r="B8" s="3" t="inlineStr"/>
    </row>
    <row r="9">
      <c r="B9" s="4" t="inlineStr">
        <is>
          <t>How to fill it in</t>
        </is>
      </c>
    </row>
    <row r="10">
      <c r="B10" s="3" t="inlineStr">
        <is>
          <t>1.  Work down the sheet with the person who owns each area. For every control, set Applicable to Yes or No.</t>
        </is>
      </c>
    </row>
    <row r="11">
      <c r="B11" s="3" t="inlineStr">
        <is>
          <t>2.  Give the reason in your own words. A control is excluded only if your risk assessment shows the risk it addresses does not exist. "We have not got round to it" is not a reason. Controls that apply are also given a reason, for example the risk or requirement that needs it.</t>
        </is>
      </c>
    </row>
    <row r="12">
      <c r="B12" s="3" t="inlineStr">
        <is>
          <t>3.  For controls that apply, choose the implementation status, and say how it is done and where the evidence is.</t>
        </is>
      </c>
    </row>
    <row r="13">
      <c r="B13" s="3" t="inlineStr">
        <is>
          <t>4.  Name an owner for every control that applies, and record the date it was last reviewed.</t>
        </is>
      </c>
    </row>
    <row r="14">
      <c r="B14" s="3" t="inlineStr">
        <is>
          <t>5.  Complete the details at the top of the Statement of Applicability sheet, and have it approved by top management.</t>
        </is>
      </c>
    </row>
    <row r="15">
      <c r="B15" s="3" t="inlineStr">
        <is>
          <t>6.  Look at the Summary sheet. Every control should be Yes or No before you finish.</t>
        </is>
      </c>
    </row>
    <row r="16">
      <c r="B16" s="3" t="inlineStr"/>
    </row>
    <row r="17">
      <c r="B17" s="2" t="inlineStr">
        <is>
          <t>The yellow cells are yours to fill in.</t>
        </is>
      </c>
    </row>
    <row r="18">
      <c r="B18" s="3" t="inlineStr">
        <is>
          <t>The control numbers and names come from ISO/IEC 27001:2022, Annex A. They are listed here to save typing, and must match the standard. Keep this workbook up to date as risks and controls change, and review it at least once a year.</t>
        </is>
      </c>
    </row>
    <row r="19">
      <c r="B19" s="3" t="inlineStr"/>
    </row>
    <row r="20">
      <c r="B20" s="5" t="inlineStr">
        <is>
          <t>This template is a starting point. It is not legal advice and does not by itself make an organisation compliant with ISO/IEC 27001.</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3:J105"/>
  <sheetViews>
    <sheetView showGridLines="0" workbookViewId="0">
      <pane xSplit="2" ySplit="12" topLeftCell="C13"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12" customWidth="1" min="3" max="3"/>
    <col width="14" customWidth="1" min="4" max="4"/>
    <col width="46" customWidth="1" min="5" max="5"/>
    <col width="18" customWidth="1" min="6" max="6"/>
    <col width="46" customWidth="1" min="7" max="7"/>
    <col width="32" customWidth="1" min="8" max="8"/>
    <col width="20" customWidth="1" min="9" max="9"/>
    <col width="14" customWidth="1" min="10" max="10"/>
  </cols>
  <sheetData>
    <row r="1" ht="34" customHeight="1"/>
    <row r="3">
      <c r="A3" s="6" t="inlineStr">
        <is>
          <t>Statement of Applicability</t>
        </is>
      </c>
    </row>
    <row r="4">
      <c r="A4" s="7" t="inlineStr">
        <is>
          <t>Organisation</t>
        </is>
      </c>
      <c r="C4" s="8" t="inlineStr">
        <is>
          <t>&lt;Company name&gt;</t>
        </is>
      </c>
    </row>
    <row r="5">
      <c r="A5" s="7" t="inlineStr">
        <is>
          <t>Document ID</t>
        </is>
      </c>
      <c r="C5" s="8" t="inlineStr">
        <is>
          <t>ISMS-11</t>
        </is>
      </c>
    </row>
    <row r="6">
      <c r="A6" s="7" t="inlineStr">
        <is>
          <t>Version</t>
        </is>
      </c>
      <c r="C6" s="8" t="inlineStr">
        <is>
          <t>&lt;1.0&gt;</t>
        </is>
      </c>
    </row>
    <row r="7">
      <c r="A7" s="7" t="inlineStr">
        <is>
          <t>Standard</t>
        </is>
      </c>
      <c r="C7" s="8" t="inlineStr">
        <is>
          <t>ISO/IEC 27001:2022, Annex A</t>
        </is>
      </c>
    </row>
    <row r="8">
      <c r="A8" s="7" t="inlineStr">
        <is>
          <t>Approved by</t>
        </is>
      </c>
      <c r="C8" s="8" t="inlineStr">
        <is>
          <t>&lt;Name and role&gt;</t>
        </is>
      </c>
    </row>
    <row r="9">
      <c r="A9" s="7" t="inlineStr">
        <is>
          <t>Approval date</t>
        </is>
      </c>
      <c r="C9" s="8" t="inlineStr">
        <is>
          <t>&lt;Date&gt;</t>
        </is>
      </c>
    </row>
    <row r="10">
      <c r="A10" s="7" t="inlineStr">
        <is>
          <t>Next review</t>
        </is>
      </c>
      <c r="C10" s="8" t="inlineStr">
        <is>
          <t>&lt;Date, within 12 months&gt;</t>
        </is>
      </c>
    </row>
    <row r="12" ht="32" customHeight="1">
      <c r="A12" s="9" t="inlineStr">
        <is>
          <t>Ref</t>
        </is>
      </c>
      <c r="B12" s="9" t="inlineStr">
        <is>
          <t>Control</t>
        </is>
      </c>
      <c r="C12" s="9" t="inlineStr">
        <is>
          <t>Theme</t>
        </is>
      </c>
      <c r="D12" s="9" t="inlineStr">
        <is>
          <t>Applicable?</t>
        </is>
      </c>
      <c r="E12" s="9" t="inlineStr">
        <is>
          <t>Why it applies, or why it does not</t>
        </is>
      </c>
      <c r="F12" s="9" t="inlineStr">
        <is>
          <t>Status</t>
        </is>
      </c>
      <c r="G12" s="9" t="inlineStr">
        <is>
          <t>How it is implemented (policy, procedure, system)</t>
        </is>
      </c>
      <c r="H12" s="9" t="inlineStr">
        <is>
          <t>Evidence</t>
        </is>
      </c>
      <c r="I12" s="9" t="inlineStr">
        <is>
          <t>Owner</t>
        </is>
      </c>
      <c r="J12" s="9" t="inlineStr">
        <is>
          <t>Last reviewed</t>
        </is>
      </c>
    </row>
    <row r="13">
      <c r="A13" s="10" t="inlineStr">
        <is>
          <t>A.5.1</t>
        </is>
      </c>
      <c r="B13" s="10" t="inlineStr">
        <is>
          <t>Policies for information security</t>
        </is>
      </c>
      <c r="C13" s="10" t="inlineStr">
        <is>
          <t>A.5 Organizational</t>
        </is>
      </c>
      <c r="D13" s="11" t="n"/>
      <c r="E13" s="11" t="n"/>
      <c r="F13" s="11" t="n"/>
      <c r="G13" s="11" t="n"/>
      <c r="H13" s="11" t="n"/>
      <c r="I13" s="11" t="n"/>
      <c r="J13" s="11" t="n"/>
    </row>
    <row r="14">
      <c r="A14" s="10" t="inlineStr">
        <is>
          <t>A.5.2</t>
        </is>
      </c>
      <c r="B14" s="10" t="inlineStr">
        <is>
          <t>Information security roles and responsibilities</t>
        </is>
      </c>
      <c r="C14" s="10" t="inlineStr">
        <is>
          <t>A.5 Organizational</t>
        </is>
      </c>
      <c r="D14" s="11" t="n"/>
      <c r="E14" s="11" t="n"/>
      <c r="F14" s="11" t="n"/>
      <c r="G14" s="11" t="n"/>
      <c r="H14" s="11" t="n"/>
      <c r="I14" s="11" t="n"/>
      <c r="J14" s="11" t="n"/>
    </row>
    <row r="15">
      <c r="A15" s="10" t="inlineStr">
        <is>
          <t>A.5.3</t>
        </is>
      </c>
      <c r="B15" s="10" t="inlineStr">
        <is>
          <t>Segregation of duties</t>
        </is>
      </c>
      <c r="C15" s="10" t="inlineStr">
        <is>
          <t>A.5 Organizational</t>
        </is>
      </c>
      <c r="D15" s="11" t="n"/>
      <c r="E15" s="11" t="n"/>
      <c r="F15" s="11" t="n"/>
      <c r="G15" s="11" t="n"/>
      <c r="H15" s="11" t="n"/>
      <c r="I15" s="11" t="n"/>
      <c r="J15" s="11" t="n"/>
    </row>
    <row r="16">
      <c r="A16" s="10" t="inlineStr">
        <is>
          <t>A.5.4</t>
        </is>
      </c>
      <c r="B16" s="10" t="inlineStr">
        <is>
          <t>Management responsibilities</t>
        </is>
      </c>
      <c r="C16" s="10" t="inlineStr">
        <is>
          <t>A.5 Organizational</t>
        </is>
      </c>
      <c r="D16" s="11" t="n"/>
      <c r="E16" s="11" t="n"/>
      <c r="F16" s="11" t="n"/>
      <c r="G16" s="11" t="n"/>
      <c r="H16" s="11" t="n"/>
      <c r="I16" s="11" t="n"/>
      <c r="J16" s="11" t="n"/>
    </row>
    <row r="17">
      <c r="A17" s="10" t="inlineStr">
        <is>
          <t>A.5.5</t>
        </is>
      </c>
      <c r="B17" s="10" t="inlineStr">
        <is>
          <t>Contact with authorities</t>
        </is>
      </c>
      <c r="C17" s="10" t="inlineStr">
        <is>
          <t>A.5 Organizational</t>
        </is>
      </c>
      <c r="D17" s="11" t="n"/>
      <c r="E17" s="11" t="n"/>
      <c r="F17" s="11" t="n"/>
      <c r="G17" s="11" t="n"/>
      <c r="H17" s="11" t="n"/>
      <c r="I17" s="11" t="n"/>
      <c r="J17" s="11" t="n"/>
    </row>
    <row r="18">
      <c r="A18" s="10" t="inlineStr">
        <is>
          <t>A.5.6</t>
        </is>
      </c>
      <c r="B18" s="10" t="inlineStr">
        <is>
          <t>Contact with special interest groups</t>
        </is>
      </c>
      <c r="C18" s="10" t="inlineStr">
        <is>
          <t>A.5 Organizational</t>
        </is>
      </c>
      <c r="D18" s="11" t="n"/>
      <c r="E18" s="11" t="n"/>
      <c r="F18" s="11" t="n"/>
      <c r="G18" s="11" t="n"/>
      <c r="H18" s="11" t="n"/>
      <c r="I18" s="11" t="n"/>
      <c r="J18" s="11" t="n"/>
    </row>
    <row r="19">
      <c r="A19" s="10" t="inlineStr">
        <is>
          <t>A.5.7</t>
        </is>
      </c>
      <c r="B19" s="10" t="inlineStr">
        <is>
          <t>Threat intelligence</t>
        </is>
      </c>
      <c r="C19" s="10" t="inlineStr">
        <is>
          <t>A.5 Organizational</t>
        </is>
      </c>
      <c r="D19" s="11" t="n"/>
      <c r="E19" s="11" t="n"/>
      <c r="F19" s="11" t="n"/>
      <c r="G19" s="11" t="n"/>
      <c r="H19" s="11" t="n"/>
      <c r="I19" s="11" t="n"/>
      <c r="J19" s="11" t="n"/>
    </row>
    <row r="20">
      <c r="A20" s="10" t="inlineStr">
        <is>
          <t>A.5.8</t>
        </is>
      </c>
      <c r="B20" s="10" t="inlineStr">
        <is>
          <t>Information security in project management</t>
        </is>
      </c>
      <c r="C20" s="10" t="inlineStr">
        <is>
          <t>A.5 Organizational</t>
        </is>
      </c>
      <c r="D20" s="11" t="n"/>
      <c r="E20" s="11" t="n"/>
      <c r="F20" s="11" t="n"/>
      <c r="G20" s="11" t="n"/>
      <c r="H20" s="11" t="n"/>
      <c r="I20" s="11" t="n"/>
      <c r="J20" s="11" t="n"/>
    </row>
    <row r="21">
      <c r="A21" s="10" t="inlineStr">
        <is>
          <t>A.5.9</t>
        </is>
      </c>
      <c r="B21" s="10" t="inlineStr">
        <is>
          <t>Inventory of information and other associated assets</t>
        </is>
      </c>
      <c r="C21" s="10" t="inlineStr">
        <is>
          <t>A.5 Organizational</t>
        </is>
      </c>
      <c r="D21" s="11" t="n"/>
      <c r="E21" s="11" t="n"/>
      <c r="F21" s="11" t="n"/>
      <c r="G21" s="11" t="n"/>
      <c r="H21" s="11" t="n"/>
      <c r="I21" s="11" t="n"/>
      <c r="J21" s="11" t="n"/>
    </row>
    <row r="22">
      <c r="A22" s="10" t="inlineStr">
        <is>
          <t>A.5.10</t>
        </is>
      </c>
      <c r="B22" s="10" t="inlineStr">
        <is>
          <t>Acceptable use of information and other associated assets</t>
        </is>
      </c>
      <c r="C22" s="10" t="inlineStr">
        <is>
          <t>A.5 Organizational</t>
        </is>
      </c>
      <c r="D22" s="11" t="n"/>
      <c r="E22" s="11" t="n"/>
      <c r="F22" s="11" t="n"/>
      <c r="G22" s="11" t="n"/>
      <c r="H22" s="11" t="n"/>
      <c r="I22" s="11" t="n"/>
      <c r="J22" s="11" t="n"/>
    </row>
    <row r="23">
      <c r="A23" s="10" t="inlineStr">
        <is>
          <t>A.5.11</t>
        </is>
      </c>
      <c r="B23" s="10" t="inlineStr">
        <is>
          <t>Return of assets</t>
        </is>
      </c>
      <c r="C23" s="10" t="inlineStr">
        <is>
          <t>A.5 Organizational</t>
        </is>
      </c>
      <c r="D23" s="11" t="n"/>
      <c r="E23" s="11" t="n"/>
      <c r="F23" s="11" t="n"/>
      <c r="G23" s="11" t="n"/>
      <c r="H23" s="11" t="n"/>
      <c r="I23" s="11" t="n"/>
      <c r="J23" s="11" t="n"/>
    </row>
    <row r="24">
      <c r="A24" s="10" t="inlineStr">
        <is>
          <t>A.5.12</t>
        </is>
      </c>
      <c r="B24" s="10" t="inlineStr">
        <is>
          <t>Classification of information</t>
        </is>
      </c>
      <c r="C24" s="10" t="inlineStr">
        <is>
          <t>A.5 Organizational</t>
        </is>
      </c>
      <c r="D24" s="11" t="n"/>
      <c r="E24" s="11" t="n"/>
      <c r="F24" s="11" t="n"/>
      <c r="G24" s="11" t="n"/>
      <c r="H24" s="11" t="n"/>
      <c r="I24" s="11" t="n"/>
      <c r="J24" s="11" t="n"/>
    </row>
    <row r="25">
      <c r="A25" s="10" t="inlineStr">
        <is>
          <t>A.5.13</t>
        </is>
      </c>
      <c r="B25" s="10" t="inlineStr">
        <is>
          <t>Labelling of information</t>
        </is>
      </c>
      <c r="C25" s="10" t="inlineStr">
        <is>
          <t>A.5 Organizational</t>
        </is>
      </c>
      <c r="D25" s="11" t="n"/>
      <c r="E25" s="11" t="n"/>
      <c r="F25" s="11" t="n"/>
      <c r="G25" s="11" t="n"/>
      <c r="H25" s="11" t="n"/>
      <c r="I25" s="11" t="n"/>
      <c r="J25" s="11" t="n"/>
    </row>
    <row r="26">
      <c r="A26" s="10" t="inlineStr">
        <is>
          <t>A.5.14</t>
        </is>
      </c>
      <c r="B26" s="10" t="inlineStr">
        <is>
          <t>Information transfer</t>
        </is>
      </c>
      <c r="C26" s="10" t="inlineStr">
        <is>
          <t>A.5 Organizational</t>
        </is>
      </c>
      <c r="D26" s="11" t="n"/>
      <c r="E26" s="11" t="n"/>
      <c r="F26" s="11" t="n"/>
      <c r="G26" s="11" t="n"/>
      <c r="H26" s="11" t="n"/>
      <c r="I26" s="11" t="n"/>
      <c r="J26" s="11" t="n"/>
    </row>
    <row r="27">
      <c r="A27" s="10" t="inlineStr">
        <is>
          <t>A.5.15</t>
        </is>
      </c>
      <c r="B27" s="10" t="inlineStr">
        <is>
          <t>Access control</t>
        </is>
      </c>
      <c r="C27" s="10" t="inlineStr">
        <is>
          <t>A.5 Organizational</t>
        </is>
      </c>
      <c r="D27" s="11" t="n"/>
      <c r="E27" s="11" t="n"/>
      <c r="F27" s="11" t="n"/>
      <c r="G27" s="11" t="n"/>
      <c r="H27" s="11" t="n"/>
      <c r="I27" s="11" t="n"/>
      <c r="J27" s="11" t="n"/>
    </row>
    <row r="28">
      <c r="A28" s="10" t="inlineStr">
        <is>
          <t>A.5.16</t>
        </is>
      </c>
      <c r="B28" s="10" t="inlineStr">
        <is>
          <t>Identity management</t>
        </is>
      </c>
      <c r="C28" s="10" t="inlineStr">
        <is>
          <t>A.5 Organizational</t>
        </is>
      </c>
      <c r="D28" s="11" t="n"/>
      <c r="E28" s="11" t="n"/>
      <c r="F28" s="11" t="n"/>
      <c r="G28" s="11" t="n"/>
      <c r="H28" s="11" t="n"/>
      <c r="I28" s="11" t="n"/>
      <c r="J28" s="11" t="n"/>
    </row>
    <row r="29">
      <c r="A29" s="10" t="inlineStr">
        <is>
          <t>A.5.17</t>
        </is>
      </c>
      <c r="B29" s="10" t="inlineStr">
        <is>
          <t>Authentication information</t>
        </is>
      </c>
      <c r="C29" s="10" t="inlineStr">
        <is>
          <t>A.5 Organizational</t>
        </is>
      </c>
      <c r="D29" s="11" t="n"/>
      <c r="E29" s="11" t="n"/>
      <c r="F29" s="11" t="n"/>
      <c r="G29" s="11" t="n"/>
      <c r="H29" s="11" t="n"/>
      <c r="I29" s="11" t="n"/>
      <c r="J29" s="11" t="n"/>
    </row>
    <row r="30">
      <c r="A30" s="10" t="inlineStr">
        <is>
          <t>A.5.18</t>
        </is>
      </c>
      <c r="B30" s="10" t="inlineStr">
        <is>
          <t>Access rights</t>
        </is>
      </c>
      <c r="C30" s="10" t="inlineStr">
        <is>
          <t>A.5 Organizational</t>
        </is>
      </c>
      <c r="D30" s="11" t="n"/>
      <c r="E30" s="11" t="n"/>
      <c r="F30" s="11" t="n"/>
      <c r="G30" s="11" t="n"/>
      <c r="H30" s="11" t="n"/>
      <c r="I30" s="11" t="n"/>
      <c r="J30" s="11" t="n"/>
    </row>
    <row r="31">
      <c r="A31" s="10" t="inlineStr">
        <is>
          <t>A.5.19</t>
        </is>
      </c>
      <c r="B31" s="10" t="inlineStr">
        <is>
          <t>Information security in supplier relationships</t>
        </is>
      </c>
      <c r="C31" s="10" t="inlineStr">
        <is>
          <t>A.5 Organizational</t>
        </is>
      </c>
      <c r="D31" s="11" t="n"/>
      <c r="E31" s="11" t="n"/>
      <c r="F31" s="11" t="n"/>
      <c r="G31" s="11" t="n"/>
      <c r="H31" s="11" t="n"/>
      <c r="I31" s="11" t="n"/>
      <c r="J31" s="11" t="n"/>
    </row>
    <row r="32">
      <c r="A32" s="10" t="inlineStr">
        <is>
          <t>A.5.20</t>
        </is>
      </c>
      <c r="B32" s="10" t="inlineStr">
        <is>
          <t>Addressing information security within supplier agreements</t>
        </is>
      </c>
      <c r="C32" s="10" t="inlineStr">
        <is>
          <t>A.5 Organizational</t>
        </is>
      </c>
      <c r="D32" s="11" t="n"/>
      <c r="E32" s="11" t="n"/>
      <c r="F32" s="11" t="n"/>
      <c r="G32" s="11" t="n"/>
      <c r="H32" s="11" t="n"/>
      <c r="I32" s="11" t="n"/>
      <c r="J32" s="11" t="n"/>
    </row>
    <row r="33">
      <c r="A33" s="10" t="inlineStr">
        <is>
          <t>A.5.21</t>
        </is>
      </c>
      <c r="B33" s="10" t="inlineStr">
        <is>
          <t>Managing information security in the ICT supply chain</t>
        </is>
      </c>
      <c r="C33" s="10" t="inlineStr">
        <is>
          <t>A.5 Organizational</t>
        </is>
      </c>
      <c r="D33" s="11" t="n"/>
      <c r="E33" s="11" t="n"/>
      <c r="F33" s="11" t="n"/>
      <c r="G33" s="11" t="n"/>
      <c r="H33" s="11" t="n"/>
      <c r="I33" s="11" t="n"/>
      <c r="J33" s="11" t="n"/>
    </row>
    <row r="34">
      <c r="A34" s="10" t="inlineStr">
        <is>
          <t>A.5.22</t>
        </is>
      </c>
      <c r="B34" s="10" t="inlineStr">
        <is>
          <t>Monitoring, review and change management of supplier services</t>
        </is>
      </c>
      <c r="C34" s="10" t="inlineStr">
        <is>
          <t>A.5 Organizational</t>
        </is>
      </c>
      <c r="D34" s="11" t="n"/>
      <c r="E34" s="11" t="n"/>
      <c r="F34" s="11" t="n"/>
      <c r="G34" s="11" t="n"/>
      <c r="H34" s="11" t="n"/>
      <c r="I34" s="11" t="n"/>
      <c r="J34" s="11" t="n"/>
    </row>
    <row r="35">
      <c r="A35" s="10" t="inlineStr">
        <is>
          <t>A.5.23</t>
        </is>
      </c>
      <c r="B35" s="10" t="inlineStr">
        <is>
          <t>Information security for use of cloud services</t>
        </is>
      </c>
      <c r="C35" s="10" t="inlineStr">
        <is>
          <t>A.5 Organizational</t>
        </is>
      </c>
      <c r="D35" s="11" t="n"/>
      <c r="E35" s="11" t="n"/>
      <c r="F35" s="11" t="n"/>
      <c r="G35" s="11" t="n"/>
      <c r="H35" s="11" t="n"/>
      <c r="I35" s="11" t="n"/>
      <c r="J35" s="11" t="n"/>
    </row>
    <row r="36">
      <c r="A36" s="10" t="inlineStr">
        <is>
          <t>A.5.24</t>
        </is>
      </c>
      <c r="B36" s="10" t="inlineStr">
        <is>
          <t>Information security incident management planning and preparation</t>
        </is>
      </c>
      <c r="C36" s="10" t="inlineStr">
        <is>
          <t>A.5 Organizational</t>
        </is>
      </c>
      <c r="D36" s="11" t="n"/>
      <c r="E36" s="11" t="n"/>
      <c r="F36" s="11" t="n"/>
      <c r="G36" s="11" t="n"/>
      <c r="H36" s="11" t="n"/>
      <c r="I36" s="11" t="n"/>
      <c r="J36" s="11" t="n"/>
    </row>
    <row r="37">
      <c r="A37" s="10" t="inlineStr">
        <is>
          <t>A.5.25</t>
        </is>
      </c>
      <c r="B37" s="10" t="inlineStr">
        <is>
          <t>Assessment and decision on information security events</t>
        </is>
      </c>
      <c r="C37" s="10" t="inlineStr">
        <is>
          <t>A.5 Organizational</t>
        </is>
      </c>
      <c r="D37" s="11" t="n"/>
      <c r="E37" s="11" t="n"/>
      <c r="F37" s="11" t="n"/>
      <c r="G37" s="11" t="n"/>
      <c r="H37" s="11" t="n"/>
      <c r="I37" s="11" t="n"/>
      <c r="J37" s="11" t="n"/>
    </row>
    <row r="38">
      <c r="A38" s="10" t="inlineStr">
        <is>
          <t>A.5.26</t>
        </is>
      </c>
      <c r="B38" s="10" t="inlineStr">
        <is>
          <t>Response to information security incidents</t>
        </is>
      </c>
      <c r="C38" s="10" t="inlineStr">
        <is>
          <t>A.5 Organizational</t>
        </is>
      </c>
      <c r="D38" s="11" t="n"/>
      <c r="E38" s="11" t="n"/>
      <c r="F38" s="11" t="n"/>
      <c r="G38" s="11" t="n"/>
      <c r="H38" s="11" t="n"/>
      <c r="I38" s="11" t="n"/>
      <c r="J38" s="11" t="n"/>
    </row>
    <row r="39">
      <c r="A39" s="10" t="inlineStr">
        <is>
          <t>A.5.27</t>
        </is>
      </c>
      <c r="B39" s="10" t="inlineStr">
        <is>
          <t>Learning from information security incidents</t>
        </is>
      </c>
      <c r="C39" s="10" t="inlineStr">
        <is>
          <t>A.5 Organizational</t>
        </is>
      </c>
      <c r="D39" s="11" t="n"/>
      <c r="E39" s="11" t="n"/>
      <c r="F39" s="11" t="n"/>
      <c r="G39" s="11" t="n"/>
      <c r="H39" s="11" t="n"/>
      <c r="I39" s="11" t="n"/>
      <c r="J39" s="11" t="n"/>
    </row>
    <row r="40">
      <c r="A40" s="10" t="inlineStr">
        <is>
          <t>A.5.28</t>
        </is>
      </c>
      <c r="B40" s="10" t="inlineStr">
        <is>
          <t>Collection of evidence</t>
        </is>
      </c>
      <c r="C40" s="10" t="inlineStr">
        <is>
          <t>A.5 Organizational</t>
        </is>
      </c>
      <c r="D40" s="11" t="n"/>
      <c r="E40" s="11" t="n"/>
      <c r="F40" s="11" t="n"/>
      <c r="G40" s="11" t="n"/>
      <c r="H40" s="11" t="n"/>
      <c r="I40" s="11" t="n"/>
      <c r="J40" s="11" t="n"/>
    </row>
    <row r="41">
      <c r="A41" s="10" t="inlineStr">
        <is>
          <t>A.5.29</t>
        </is>
      </c>
      <c r="B41" s="10" t="inlineStr">
        <is>
          <t>Information security during disruption</t>
        </is>
      </c>
      <c r="C41" s="10" t="inlineStr">
        <is>
          <t>A.5 Organizational</t>
        </is>
      </c>
      <c r="D41" s="11" t="n"/>
      <c r="E41" s="11" t="n"/>
      <c r="F41" s="11" t="n"/>
      <c r="G41" s="11" t="n"/>
      <c r="H41" s="11" t="n"/>
      <c r="I41" s="11" t="n"/>
      <c r="J41" s="11" t="n"/>
    </row>
    <row r="42">
      <c r="A42" s="10" t="inlineStr">
        <is>
          <t>A.5.30</t>
        </is>
      </c>
      <c r="B42" s="10" t="inlineStr">
        <is>
          <t>ICT readiness for business continuity</t>
        </is>
      </c>
      <c r="C42" s="10" t="inlineStr">
        <is>
          <t>A.5 Organizational</t>
        </is>
      </c>
      <c r="D42" s="11" t="n"/>
      <c r="E42" s="11" t="n"/>
      <c r="F42" s="11" t="n"/>
      <c r="G42" s="11" t="n"/>
      <c r="H42" s="11" t="n"/>
      <c r="I42" s="11" t="n"/>
      <c r="J42" s="11" t="n"/>
    </row>
    <row r="43">
      <c r="A43" s="10" t="inlineStr">
        <is>
          <t>A.5.31</t>
        </is>
      </c>
      <c r="B43" s="10" t="inlineStr">
        <is>
          <t>Legal, statutory, regulatory and contractual requirements</t>
        </is>
      </c>
      <c r="C43" s="10" t="inlineStr">
        <is>
          <t>A.5 Organizational</t>
        </is>
      </c>
      <c r="D43" s="11" t="n"/>
      <c r="E43" s="11" t="n"/>
      <c r="F43" s="11" t="n"/>
      <c r="G43" s="11" t="n"/>
      <c r="H43" s="11" t="n"/>
      <c r="I43" s="11" t="n"/>
      <c r="J43" s="11" t="n"/>
    </row>
    <row r="44">
      <c r="A44" s="10" t="inlineStr">
        <is>
          <t>A.5.32</t>
        </is>
      </c>
      <c r="B44" s="10" t="inlineStr">
        <is>
          <t>Intellectual property rights</t>
        </is>
      </c>
      <c r="C44" s="10" t="inlineStr">
        <is>
          <t>A.5 Organizational</t>
        </is>
      </c>
      <c r="D44" s="11" t="n"/>
      <c r="E44" s="11" t="n"/>
      <c r="F44" s="11" t="n"/>
      <c r="G44" s="11" t="n"/>
      <c r="H44" s="11" t="n"/>
      <c r="I44" s="11" t="n"/>
      <c r="J44" s="11" t="n"/>
    </row>
    <row r="45">
      <c r="A45" s="10" t="inlineStr">
        <is>
          <t>A.5.33</t>
        </is>
      </c>
      <c r="B45" s="10" t="inlineStr">
        <is>
          <t>Protection of records</t>
        </is>
      </c>
      <c r="C45" s="10" t="inlineStr">
        <is>
          <t>A.5 Organizational</t>
        </is>
      </c>
      <c r="D45" s="11" t="n"/>
      <c r="E45" s="11" t="n"/>
      <c r="F45" s="11" t="n"/>
      <c r="G45" s="11" t="n"/>
      <c r="H45" s="11" t="n"/>
      <c r="I45" s="11" t="n"/>
      <c r="J45" s="11" t="n"/>
    </row>
    <row r="46">
      <c r="A46" s="10" t="inlineStr">
        <is>
          <t>A.5.34</t>
        </is>
      </c>
      <c r="B46" s="10" t="inlineStr">
        <is>
          <t>Privacy and protection of PII</t>
        </is>
      </c>
      <c r="C46" s="10" t="inlineStr">
        <is>
          <t>A.5 Organizational</t>
        </is>
      </c>
      <c r="D46" s="11" t="n"/>
      <c r="E46" s="11" t="n"/>
      <c r="F46" s="11" t="n"/>
      <c r="G46" s="11" t="n"/>
      <c r="H46" s="11" t="n"/>
      <c r="I46" s="11" t="n"/>
      <c r="J46" s="11" t="n"/>
    </row>
    <row r="47">
      <c r="A47" s="10" t="inlineStr">
        <is>
          <t>A.5.35</t>
        </is>
      </c>
      <c r="B47" s="10" t="inlineStr">
        <is>
          <t>Independent review of information security</t>
        </is>
      </c>
      <c r="C47" s="10" t="inlineStr">
        <is>
          <t>A.5 Organizational</t>
        </is>
      </c>
      <c r="D47" s="11" t="n"/>
      <c r="E47" s="11" t="n"/>
      <c r="F47" s="11" t="n"/>
      <c r="G47" s="11" t="n"/>
      <c r="H47" s="11" t="n"/>
      <c r="I47" s="11" t="n"/>
      <c r="J47" s="11" t="n"/>
    </row>
    <row r="48">
      <c r="A48" s="10" t="inlineStr">
        <is>
          <t>A.5.36</t>
        </is>
      </c>
      <c r="B48" s="10" t="inlineStr">
        <is>
          <t>Compliance with policies, rules and standards for information security</t>
        </is>
      </c>
      <c r="C48" s="10" t="inlineStr">
        <is>
          <t>A.5 Organizational</t>
        </is>
      </c>
      <c r="D48" s="11" t="n"/>
      <c r="E48" s="11" t="n"/>
      <c r="F48" s="11" t="n"/>
      <c r="G48" s="11" t="n"/>
      <c r="H48" s="11" t="n"/>
      <c r="I48" s="11" t="n"/>
      <c r="J48" s="11" t="n"/>
    </row>
    <row r="49">
      <c r="A49" s="10" t="inlineStr">
        <is>
          <t>A.5.37</t>
        </is>
      </c>
      <c r="B49" s="10" t="inlineStr">
        <is>
          <t>Documented operating procedures</t>
        </is>
      </c>
      <c r="C49" s="10" t="inlineStr">
        <is>
          <t>A.5 Organizational</t>
        </is>
      </c>
      <c r="D49" s="11" t="n"/>
      <c r="E49" s="11" t="n"/>
      <c r="F49" s="11" t="n"/>
      <c r="G49" s="11" t="n"/>
      <c r="H49" s="11" t="n"/>
      <c r="I49" s="11" t="n"/>
      <c r="J49" s="11" t="n"/>
    </row>
    <row r="50">
      <c r="A50" s="10" t="inlineStr">
        <is>
          <t>A.6.1</t>
        </is>
      </c>
      <c r="B50" s="10" t="inlineStr">
        <is>
          <t>Screening</t>
        </is>
      </c>
      <c r="C50" s="10" t="inlineStr">
        <is>
          <t>A.6 People</t>
        </is>
      </c>
      <c r="D50" s="11" t="n"/>
      <c r="E50" s="11" t="n"/>
      <c r="F50" s="11" t="n"/>
      <c r="G50" s="11" t="n"/>
      <c r="H50" s="11" t="n"/>
      <c r="I50" s="11" t="n"/>
      <c r="J50" s="11" t="n"/>
    </row>
    <row r="51">
      <c r="A51" s="10" t="inlineStr">
        <is>
          <t>A.6.2</t>
        </is>
      </c>
      <c r="B51" s="10" t="inlineStr">
        <is>
          <t>Terms and conditions of employment</t>
        </is>
      </c>
      <c r="C51" s="10" t="inlineStr">
        <is>
          <t>A.6 People</t>
        </is>
      </c>
      <c r="D51" s="11" t="n"/>
      <c r="E51" s="11" t="n"/>
      <c r="F51" s="11" t="n"/>
      <c r="G51" s="11" t="n"/>
      <c r="H51" s="11" t="n"/>
      <c r="I51" s="11" t="n"/>
      <c r="J51" s="11" t="n"/>
    </row>
    <row r="52">
      <c r="A52" s="10" t="inlineStr">
        <is>
          <t>A.6.3</t>
        </is>
      </c>
      <c r="B52" s="10" t="inlineStr">
        <is>
          <t>Information security awareness, education and training</t>
        </is>
      </c>
      <c r="C52" s="10" t="inlineStr">
        <is>
          <t>A.6 People</t>
        </is>
      </c>
      <c r="D52" s="11" t="n"/>
      <c r="E52" s="11" t="n"/>
      <c r="F52" s="11" t="n"/>
      <c r="G52" s="11" t="n"/>
      <c r="H52" s="11" t="n"/>
      <c r="I52" s="11" t="n"/>
      <c r="J52" s="11" t="n"/>
    </row>
    <row r="53">
      <c r="A53" s="10" t="inlineStr">
        <is>
          <t>A.6.4</t>
        </is>
      </c>
      <c r="B53" s="10" t="inlineStr">
        <is>
          <t>Disciplinary process</t>
        </is>
      </c>
      <c r="C53" s="10" t="inlineStr">
        <is>
          <t>A.6 People</t>
        </is>
      </c>
      <c r="D53" s="11" t="n"/>
      <c r="E53" s="11" t="n"/>
      <c r="F53" s="11" t="n"/>
      <c r="G53" s="11" t="n"/>
      <c r="H53" s="11" t="n"/>
      <c r="I53" s="11" t="n"/>
      <c r="J53" s="11" t="n"/>
    </row>
    <row r="54">
      <c r="A54" s="10" t="inlineStr">
        <is>
          <t>A.6.5</t>
        </is>
      </c>
      <c r="B54" s="10" t="inlineStr">
        <is>
          <t>Responsibilities after termination or change of employment</t>
        </is>
      </c>
      <c r="C54" s="10" t="inlineStr">
        <is>
          <t>A.6 People</t>
        </is>
      </c>
      <c r="D54" s="11" t="n"/>
      <c r="E54" s="11" t="n"/>
      <c r="F54" s="11" t="n"/>
      <c r="G54" s="11" t="n"/>
      <c r="H54" s="11" t="n"/>
      <c r="I54" s="11" t="n"/>
      <c r="J54" s="11" t="n"/>
    </row>
    <row r="55">
      <c r="A55" s="10" t="inlineStr">
        <is>
          <t>A.6.6</t>
        </is>
      </c>
      <c r="B55" s="10" t="inlineStr">
        <is>
          <t>Confidentiality or non-disclosure agreements</t>
        </is>
      </c>
      <c r="C55" s="10" t="inlineStr">
        <is>
          <t>A.6 People</t>
        </is>
      </c>
      <c r="D55" s="11" t="n"/>
      <c r="E55" s="11" t="n"/>
      <c r="F55" s="11" t="n"/>
      <c r="G55" s="11" t="n"/>
      <c r="H55" s="11" t="n"/>
      <c r="I55" s="11" t="n"/>
      <c r="J55" s="11" t="n"/>
    </row>
    <row r="56">
      <c r="A56" s="10" t="inlineStr">
        <is>
          <t>A.6.7</t>
        </is>
      </c>
      <c r="B56" s="10" t="inlineStr">
        <is>
          <t>Remote working</t>
        </is>
      </c>
      <c r="C56" s="10" t="inlineStr">
        <is>
          <t>A.6 People</t>
        </is>
      </c>
      <c r="D56" s="11" t="n"/>
      <c r="E56" s="11" t="n"/>
      <c r="F56" s="11" t="n"/>
      <c r="G56" s="11" t="n"/>
      <c r="H56" s="11" t="n"/>
      <c r="I56" s="11" t="n"/>
      <c r="J56" s="11" t="n"/>
    </row>
    <row r="57">
      <c r="A57" s="10" t="inlineStr">
        <is>
          <t>A.6.8</t>
        </is>
      </c>
      <c r="B57" s="10" t="inlineStr">
        <is>
          <t>Information security event reporting</t>
        </is>
      </c>
      <c r="C57" s="10" t="inlineStr">
        <is>
          <t>A.6 People</t>
        </is>
      </c>
      <c r="D57" s="11" t="n"/>
      <c r="E57" s="11" t="n"/>
      <c r="F57" s="11" t="n"/>
      <c r="G57" s="11" t="n"/>
      <c r="H57" s="11" t="n"/>
      <c r="I57" s="11" t="n"/>
      <c r="J57" s="11" t="n"/>
    </row>
    <row r="58">
      <c r="A58" s="10" t="inlineStr">
        <is>
          <t>A.7.1</t>
        </is>
      </c>
      <c r="B58" s="10" t="inlineStr">
        <is>
          <t>Physical security perimeters</t>
        </is>
      </c>
      <c r="C58" s="10" t="inlineStr">
        <is>
          <t>A.7 Physical</t>
        </is>
      </c>
      <c r="D58" s="11" t="n"/>
      <c r="E58" s="11" t="n"/>
      <c r="F58" s="11" t="n"/>
      <c r="G58" s="11" t="n"/>
      <c r="H58" s="11" t="n"/>
      <c r="I58" s="11" t="n"/>
      <c r="J58" s="11" t="n"/>
    </row>
    <row r="59">
      <c r="A59" s="10" t="inlineStr">
        <is>
          <t>A.7.2</t>
        </is>
      </c>
      <c r="B59" s="10" t="inlineStr">
        <is>
          <t>Physical entry</t>
        </is>
      </c>
      <c r="C59" s="10" t="inlineStr">
        <is>
          <t>A.7 Physical</t>
        </is>
      </c>
      <c r="D59" s="11" t="n"/>
      <c r="E59" s="11" t="n"/>
      <c r="F59" s="11" t="n"/>
      <c r="G59" s="11" t="n"/>
      <c r="H59" s="11" t="n"/>
      <c r="I59" s="11" t="n"/>
      <c r="J59" s="11" t="n"/>
    </row>
    <row r="60">
      <c r="A60" s="10" t="inlineStr">
        <is>
          <t>A.7.3</t>
        </is>
      </c>
      <c r="B60" s="10" t="inlineStr">
        <is>
          <t>Securing offices, rooms and facilities</t>
        </is>
      </c>
      <c r="C60" s="10" t="inlineStr">
        <is>
          <t>A.7 Physical</t>
        </is>
      </c>
      <c r="D60" s="11" t="n"/>
      <c r="E60" s="11" t="n"/>
      <c r="F60" s="11" t="n"/>
      <c r="G60" s="11" t="n"/>
      <c r="H60" s="11" t="n"/>
      <c r="I60" s="11" t="n"/>
      <c r="J60" s="11" t="n"/>
    </row>
    <row r="61">
      <c r="A61" s="10" t="inlineStr">
        <is>
          <t>A.7.4</t>
        </is>
      </c>
      <c r="B61" s="10" t="inlineStr">
        <is>
          <t>Physical security monitoring</t>
        </is>
      </c>
      <c r="C61" s="10" t="inlineStr">
        <is>
          <t>A.7 Physical</t>
        </is>
      </c>
      <c r="D61" s="11" t="n"/>
      <c r="E61" s="11" t="n"/>
      <c r="F61" s="11" t="n"/>
      <c r="G61" s="11" t="n"/>
      <c r="H61" s="11" t="n"/>
      <c r="I61" s="11" t="n"/>
      <c r="J61" s="11" t="n"/>
    </row>
    <row r="62">
      <c r="A62" s="10" t="inlineStr">
        <is>
          <t>A.7.5</t>
        </is>
      </c>
      <c r="B62" s="10" t="inlineStr">
        <is>
          <t>Protecting against physical and environmental threats</t>
        </is>
      </c>
      <c r="C62" s="10" t="inlineStr">
        <is>
          <t>A.7 Physical</t>
        </is>
      </c>
      <c r="D62" s="11" t="n"/>
      <c r="E62" s="11" t="n"/>
      <c r="F62" s="11" t="n"/>
      <c r="G62" s="11" t="n"/>
      <c r="H62" s="11" t="n"/>
      <c r="I62" s="11" t="n"/>
      <c r="J62" s="11" t="n"/>
    </row>
    <row r="63">
      <c r="A63" s="10" t="inlineStr">
        <is>
          <t>A.7.6</t>
        </is>
      </c>
      <c r="B63" s="10" t="inlineStr">
        <is>
          <t>Working in secure areas</t>
        </is>
      </c>
      <c r="C63" s="10" t="inlineStr">
        <is>
          <t>A.7 Physical</t>
        </is>
      </c>
      <c r="D63" s="11" t="n"/>
      <c r="E63" s="11" t="n"/>
      <c r="F63" s="11" t="n"/>
      <c r="G63" s="11" t="n"/>
      <c r="H63" s="11" t="n"/>
      <c r="I63" s="11" t="n"/>
      <c r="J63" s="11" t="n"/>
    </row>
    <row r="64">
      <c r="A64" s="10" t="inlineStr">
        <is>
          <t>A.7.7</t>
        </is>
      </c>
      <c r="B64" s="10" t="inlineStr">
        <is>
          <t>Clear desk and clear screen</t>
        </is>
      </c>
      <c r="C64" s="10" t="inlineStr">
        <is>
          <t>A.7 Physical</t>
        </is>
      </c>
      <c r="D64" s="11" t="n"/>
      <c r="E64" s="11" t="n"/>
      <c r="F64" s="11" t="n"/>
      <c r="G64" s="11" t="n"/>
      <c r="H64" s="11" t="n"/>
      <c r="I64" s="11" t="n"/>
      <c r="J64" s="11" t="n"/>
    </row>
    <row r="65">
      <c r="A65" s="10" t="inlineStr">
        <is>
          <t>A.7.8</t>
        </is>
      </c>
      <c r="B65" s="10" t="inlineStr">
        <is>
          <t>Equipment siting and protection</t>
        </is>
      </c>
      <c r="C65" s="10" t="inlineStr">
        <is>
          <t>A.7 Physical</t>
        </is>
      </c>
      <c r="D65" s="11" t="n"/>
      <c r="E65" s="11" t="n"/>
      <c r="F65" s="11" t="n"/>
      <c r="G65" s="11" t="n"/>
      <c r="H65" s="11" t="n"/>
      <c r="I65" s="11" t="n"/>
      <c r="J65" s="11" t="n"/>
    </row>
    <row r="66">
      <c r="A66" s="10" t="inlineStr">
        <is>
          <t>A.7.9</t>
        </is>
      </c>
      <c r="B66" s="10" t="inlineStr">
        <is>
          <t>Security of assets off-premises</t>
        </is>
      </c>
      <c r="C66" s="10" t="inlineStr">
        <is>
          <t>A.7 Physical</t>
        </is>
      </c>
      <c r="D66" s="11" t="n"/>
      <c r="E66" s="11" t="n"/>
      <c r="F66" s="11" t="n"/>
      <c r="G66" s="11" t="n"/>
      <c r="H66" s="11" t="n"/>
      <c r="I66" s="11" t="n"/>
      <c r="J66" s="11" t="n"/>
    </row>
    <row r="67">
      <c r="A67" s="10" t="inlineStr">
        <is>
          <t>A.7.10</t>
        </is>
      </c>
      <c r="B67" s="10" t="inlineStr">
        <is>
          <t>Storage media</t>
        </is>
      </c>
      <c r="C67" s="10" t="inlineStr">
        <is>
          <t>A.7 Physical</t>
        </is>
      </c>
      <c r="D67" s="11" t="n"/>
      <c r="E67" s="11" t="n"/>
      <c r="F67" s="11" t="n"/>
      <c r="G67" s="11" t="n"/>
      <c r="H67" s="11" t="n"/>
      <c r="I67" s="11" t="n"/>
      <c r="J67" s="11" t="n"/>
    </row>
    <row r="68">
      <c r="A68" s="10" t="inlineStr">
        <is>
          <t>A.7.11</t>
        </is>
      </c>
      <c r="B68" s="10" t="inlineStr">
        <is>
          <t>Supporting utilities</t>
        </is>
      </c>
      <c r="C68" s="10" t="inlineStr">
        <is>
          <t>A.7 Physical</t>
        </is>
      </c>
      <c r="D68" s="11" t="n"/>
      <c r="E68" s="11" t="n"/>
      <c r="F68" s="11" t="n"/>
      <c r="G68" s="11" t="n"/>
      <c r="H68" s="11" t="n"/>
      <c r="I68" s="11" t="n"/>
      <c r="J68" s="11" t="n"/>
    </row>
    <row r="69">
      <c r="A69" s="10" t="inlineStr">
        <is>
          <t>A.7.12</t>
        </is>
      </c>
      <c r="B69" s="10" t="inlineStr">
        <is>
          <t>Cabling security</t>
        </is>
      </c>
      <c r="C69" s="10" t="inlineStr">
        <is>
          <t>A.7 Physical</t>
        </is>
      </c>
      <c r="D69" s="11" t="n"/>
      <c r="E69" s="11" t="n"/>
      <c r="F69" s="11" t="n"/>
      <c r="G69" s="11" t="n"/>
      <c r="H69" s="11" t="n"/>
      <c r="I69" s="11" t="n"/>
      <c r="J69" s="11" t="n"/>
    </row>
    <row r="70">
      <c r="A70" s="10" t="inlineStr">
        <is>
          <t>A.7.13</t>
        </is>
      </c>
      <c r="B70" s="10" t="inlineStr">
        <is>
          <t>Equipment maintenance</t>
        </is>
      </c>
      <c r="C70" s="10" t="inlineStr">
        <is>
          <t>A.7 Physical</t>
        </is>
      </c>
      <c r="D70" s="11" t="n"/>
      <c r="E70" s="11" t="n"/>
      <c r="F70" s="11" t="n"/>
      <c r="G70" s="11" t="n"/>
      <c r="H70" s="11" t="n"/>
      <c r="I70" s="11" t="n"/>
      <c r="J70" s="11" t="n"/>
    </row>
    <row r="71">
      <c r="A71" s="10" t="inlineStr">
        <is>
          <t>A.7.14</t>
        </is>
      </c>
      <c r="B71" s="10" t="inlineStr">
        <is>
          <t>Secure disposal or re-use of equipment</t>
        </is>
      </c>
      <c r="C71" s="10" t="inlineStr">
        <is>
          <t>A.7 Physical</t>
        </is>
      </c>
      <c r="D71" s="11" t="n"/>
      <c r="E71" s="11" t="n"/>
      <c r="F71" s="11" t="n"/>
      <c r="G71" s="11" t="n"/>
      <c r="H71" s="11" t="n"/>
      <c r="I71" s="11" t="n"/>
      <c r="J71" s="11" t="n"/>
    </row>
    <row r="72">
      <c r="A72" s="10" t="inlineStr">
        <is>
          <t>A.8.1</t>
        </is>
      </c>
      <c r="B72" s="10" t="inlineStr">
        <is>
          <t>User endpoint devices</t>
        </is>
      </c>
      <c r="C72" s="10" t="inlineStr">
        <is>
          <t>A.8 Technological</t>
        </is>
      </c>
      <c r="D72" s="11" t="n"/>
      <c r="E72" s="11" t="n"/>
      <c r="F72" s="11" t="n"/>
      <c r="G72" s="11" t="n"/>
      <c r="H72" s="11" t="n"/>
      <c r="I72" s="11" t="n"/>
      <c r="J72" s="11" t="n"/>
    </row>
    <row r="73">
      <c r="A73" s="10" t="inlineStr">
        <is>
          <t>A.8.2</t>
        </is>
      </c>
      <c r="B73" s="10" t="inlineStr">
        <is>
          <t>Privileged access rights</t>
        </is>
      </c>
      <c r="C73" s="10" t="inlineStr">
        <is>
          <t>A.8 Technological</t>
        </is>
      </c>
      <c r="D73" s="11" t="n"/>
      <c r="E73" s="11" t="n"/>
      <c r="F73" s="11" t="n"/>
      <c r="G73" s="11" t="n"/>
      <c r="H73" s="11" t="n"/>
      <c r="I73" s="11" t="n"/>
      <c r="J73" s="11" t="n"/>
    </row>
    <row r="74">
      <c r="A74" s="10" t="inlineStr">
        <is>
          <t>A.8.3</t>
        </is>
      </c>
      <c r="B74" s="10" t="inlineStr">
        <is>
          <t>Information access restriction</t>
        </is>
      </c>
      <c r="C74" s="10" t="inlineStr">
        <is>
          <t>A.8 Technological</t>
        </is>
      </c>
      <c r="D74" s="11" t="n"/>
      <c r="E74" s="11" t="n"/>
      <c r="F74" s="11" t="n"/>
      <c r="G74" s="11" t="n"/>
      <c r="H74" s="11" t="n"/>
      <c r="I74" s="11" t="n"/>
      <c r="J74" s="11" t="n"/>
    </row>
    <row r="75">
      <c r="A75" s="10" t="inlineStr">
        <is>
          <t>A.8.4</t>
        </is>
      </c>
      <c r="B75" s="10" t="inlineStr">
        <is>
          <t>Access to source code</t>
        </is>
      </c>
      <c r="C75" s="10" t="inlineStr">
        <is>
          <t>A.8 Technological</t>
        </is>
      </c>
      <c r="D75" s="11" t="n"/>
      <c r="E75" s="11" t="n"/>
      <c r="F75" s="11" t="n"/>
      <c r="G75" s="11" t="n"/>
      <c r="H75" s="11" t="n"/>
      <c r="I75" s="11" t="n"/>
      <c r="J75" s="11" t="n"/>
    </row>
    <row r="76">
      <c r="A76" s="10" t="inlineStr">
        <is>
          <t>A.8.5</t>
        </is>
      </c>
      <c r="B76" s="10" t="inlineStr">
        <is>
          <t>Secure authentication</t>
        </is>
      </c>
      <c r="C76" s="10" t="inlineStr">
        <is>
          <t>A.8 Technological</t>
        </is>
      </c>
      <c r="D76" s="11" t="n"/>
      <c r="E76" s="11" t="n"/>
      <c r="F76" s="11" t="n"/>
      <c r="G76" s="11" t="n"/>
      <c r="H76" s="11" t="n"/>
      <c r="I76" s="11" t="n"/>
      <c r="J76" s="11" t="n"/>
    </row>
    <row r="77">
      <c r="A77" s="10" t="inlineStr">
        <is>
          <t>A.8.6</t>
        </is>
      </c>
      <c r="B77" s="10" t="inlineStr">
        <is>
          <t>Capacity management</t>
        </is>
      </c>
      <c r="C77" s="10" t="inlineStr">
        <is>
          <t>A.8 Technological</t>
        </is>
      </c>
      <c r="D77" s="11" t="n"/>
      <c r="E77" s="11" t="n"/>
      <c r="F77" s="11" t="n"/>
      <c r="G77" s="11" t="n"/>
      <c r="H77" s="11" t="n"/>
      <c r="I77" s="11" t="n"/>
      <c r="J77" s="11" t="n"/>
    </row>
    <row r="78">
      <c r="A78" s="10" t="inlineStr">
        <is>
          <t>A.8.7</t>
        </is>
      </c>
      <c r="B78" s="10" t="inlineStr">
        <is>
          <t>Protection against malware</t>
        </is>
      </c>
      <c r="C78" s="10" t="inlineStr">
        <is>
          <t>A.8 Technological</t>
        </is>
      </c>
      <c r="D78" s="11" t="n"/>
      <c r="E78" s="11" t="n"/>
      <c r="F78" s="11" t="n"/>
      <c r="G78" s="11" t="n"/>
      <c r="H78" s="11" t="n"/>
      <c r="I78" s="11" t="n"/>
      <c r="J78" s="11" t="n"/>
    </row>
    <row r="79">
      <c r="A79" s="10" t="inlineStr">
        <is>
          <t>A.8.8</t>
        </is>
      </c>
      <c r="B79" s="10" t="inlineStr">
        <is>
          <t>Management of technical vulnerabilities</t>
        </is>
      </c>
      <c r="C79" s="10" t="inlineStr">
        <is>
          <t>A.8 Technological</t>
        </is>
      </c>
      <c r="D79" s="11" t="n"/>
      <c r="E79" s="11" t="n"/>
      <c r="F79" s="11" t="n"/>
      <c r="G79" s="11" t="n"/>
      <c r="H79" s="11" t="n"/>
      <c r="I79" s="11" t="n"/>
      <c r="J79" s="11" t="n"/>
    </row>
    <row r="80">
      <c r="A80" s="10" t="inlineStr">
        <is>
          <t>A.8.9</t>
        </is>
      </c>
      <c r="B80" s="10" t="inlineStr">
        <is>
          <t>Configuration management</t>
        </is>
      </c>
      <c r="C80" s="10" t="inlineStr">
        <is>
          <t>A.8 Technological</t>
        </is>
      </c>
      <c r="D80" s="11" t="n"/>
      <c r="E80" s="11" t="n"/>
      <c r="F80" s="11" t="n"/>
      <c r="G80" s="11" t="n"/>
      <c r="H80" s="11" t="n"/>
      <c r="I80" s="11" t="n"/>
      <c r="J80" s="11" t="n"/>
    </row>
    <row r="81">
      <c r="A81" s="10" t="inlineStr">
        <is>
          <t>A.8.10</t>
        </is>
      </c>
      <c r="B81" s="10" t="inlineStr">
        <is>
          <t>Information deletion</t>
        </is>
      </c>
      <c r="C81" s="10" t="inlineStr">
        <is>
          <t>A.8 Technological</t>
        </is>
      </c>
      <c r="D81" s="11" t="n"/>
      <c r="E81" s="11" t="n"/>
      <c r="F81" s="11" t="n"/>
      <c r="G81" s="11" t="n"/>
      <c r="H81" s="11" t="n"/>
      <c r="I81" s="11" t="n"/>
      <c r="J81" s="11" t="n"/>
    </row>
    <row r="82">
      <c r="A82" s="10" t="inlineStr">
        <is>
          <t>A.8.11</t>
        </is>
      </c>
      <c r="B82" s="10" t="inlineStr">
        <is>
          <t>Data masking</t>
        </is>
      </c>
      <c r="C82" s="10" t="inlineStr">
        <is>
          <t>A.8 Technological</t>
        </is>
      </c>
      <c r="D82" s="11" t="n"/>
      <c r="E82" s="11" t="n"/>
      <c r="F82" s="11" t="n"/>
      <c r="G82" s="11" t="n"/>
      <c r="H82" s="11" t="n"/>
      <c r="I82" s="11" t="n"/>
      <c r="J82" s="11" t="n"/>
    </row>
    <row r="83">
      <c r="A83" s="10" t="inlineStr">
        <is>
          <t>A.8.12</t>
        </is>
      </c>
      <c r="B83" s="10" t="inlineStr">
        <is>
          <t>Data leakage prevention</t>
        </is>
      </c>
      <c r="C83" s="10" t="inlineStr">
        <is>
          <t>A.8 Technological</t>
        </is>
      </c>
      <c r="D83" s="11" t="n"/>
      <c r="E83" s="11" t="n"/>
      <c r="F83" s="11" t="n"/>
      <c r="G83" s="11" t="n"/>
      <c r="H83" s="11" t="n"/>
      <c r="I83" s="11" t="n"/>
      <c r="J83" s="11" t="n"/>
    </row>
    <row r="84">
      <c r="A84" s="10" t="inlineStr">
        <is>
          <t>A.8.13</t>
        </is>
      </c>
      <c r="B84" s="10" t="inlineStr">
        <is>
          <t>Information backup</t>
        </is>
      </c>
      <c r="C84" s="10" t="inlineStr">
        <is>
          <t>A.8 Technological</t>
        </is>
      </c>
      <c r="D84" s="11" t="n"/>
      <c r="E84" s="11" t="n"/>
      <c r="F84" s="11" t="n"/>
      <c r="G84" s="11" t="n"/>
      <c r="H84" s="11" t="n"/>
      <c r="I84" s="11" t="n"/>
      <c r="J84" s="11" t="n"/>
    </row>
    <row r="85">
      <c r="A85" s="10" t="inlineStr">
        <is>
          <t>A.8.14</t>
        </is>
      </c>
      <c r="B85" s="10" t="inlineStr">
        <is>
          <t>Redundancy of information processing facilities</t>
        </is>
      </c>
      <c r="C85" s="10" t="inlineStr">
        <is>
          <t>A.8 Technological</t>
        </is>
      </c>
      <c r="D85" s="11" t="n"/>
      <c r="E85" s="11" t="n"/>
      <c r="F85" s="11" t="n"/>
      <c r="G85" s="11" t="n"/>
      <c r="H85" s="11" t="n"/>
      <c r="I85" s="11" t="n"/>
      <c r="J85" s="11" t="n"/>
    </row>
    <row r="86">
      <c r="A86" s="10" t="inlineStr">
        <is>
          <t>A.8.15</t>
        </is>
      </c>
      <c r="B86" s="10" t="inlineStr">
        <is>
          <t>Logging</t>
        </is>
      </c>
      <c r="C86" s="10" t="inlineStr">
        <is>
          <t>A.8 Technological</t>
        </is>
      </c>
      <c r="D86" s="11" t="n"/>
      <c r="E86" s="11" t="n"/>
      <c r="F86" s="11" t="n"/>
      <c r="G86" s="11" t="n"/>
      <c r="H86" s="11" t="n"/>
      <c r="I86" s="11" t="n"/>
      <c r="J86" s="11" t="n"/>
    </row>
    <row r="87">
      <c r="A87" s="10" t="inlineStr">
        <is>
          <t>A.8.16</t>
        </is>
      </c>
      <c r="B87" s="10" t="inlineStr">
        <is>
          <t>Monitoring activities</t>
        </is>
      </c>
      <c r="C87" s="10" t="inlineStr">
        <is>
          <t>A.8 Technological</t>
        </is>
      </c>
      <c r="D87" s="11" t="n"/>
      <c r="E87" s="11" t="n"/>
      <c r="F87" s="11" t="n"/>
      <c r="G87" s="11" t="n"/>
      <c r="H87" s="11" t="n"/>
      <c r="I87" s="11" t="n"/>
      <c r="J87" s="11" t="n"/>
    </row>
    <row r="88">
      <c r="A88" s="10" t="inlineStr">
        <is>
          <t>A.8.17</t>
        </is>
      </c>
      <c r="B88" s="10" t="inlineStr">
        <is>
          <t>Clock synchronization</t>
        </is>
      </c>
      <c r="C88" s="10" t="inlineStr">
        <is>
          <t>A.8 Technological</t>
        </is>
      </c>
      <c r="D88" s="11" t="n"/>
      <c r="E88" s="11" t="n"/>
      <c r="F88" s="11" t="n"/>
      <c r="G88" s="11" t="n"/>
      <c r="H88" s="11" t="n"/>
      <c r="I88" s="11" t="n"/>
      <c r="J88" s="11" t="n"/>
    </row>
    <row r="89">
      <c r="A89" s="10" t="inlineStr">
        <is>
          <t>A.8.18</t>
        </is>
      </c>
      <c r="B89" s="10" t="inlineStr">
        <is>
          <t>Use of privileged utility programs</t>
        </is>
      </c>
      <c r="C89" s="10" t="inlineStr">
        <is>
          <t>A.8 Technological</t>
        </is>
      </c>
      <c r="D89" s="11" t="n"/>
      <c r="E89" s="11" t="n"/>
      <c r="F89" s="11" t="n"/>
      <c r="G89" s="11" t="n"/>
      <c r="H89" s="11" t="n"/>
      <c r="I89" s="11" t="n"/>
      <c r="J89" s="11" t="n"/>
    </row>
    <row r="90">
      <c r="A90" s="10" t="inlineStr">
        <is>
          <t>A.8.19</t>
        </is>
      </c>
      <c r="B90" s="10" t="inlineStr">
        <is>
          <t>Installation of software on operational systems</t>
        </is>
      </c>
      <c r="C90" s="10" t="inlineStr">
        <is>
          <t>A.8 Technological</t>
        </is>
      </c>
      <c r="D90" s="11" t="n"/>
      <c r="E90" s="11" t="n"/>
      <c r="F90" s="11" t="n"/>
      <c r="G90" s="11" t="n"/>
      <c r="H90" s="11" t="n"/>
      <c r="I90" s="11" t="n"/>
      <c r="J90" s="11" t="n"/>
    </row>
    <row r="91">
      <c r="A91" s="10" t="inlineStr">
        <is>
          <t>A.8.20</t>
        </is>
      </c>
      <c r="B91" s="10" t="inlineStr">
        <is>
          <t>Networks security</t>
        </is>
      </c>
      <c r="C91" s="10" t="inlineStr">
        <is>
          <t>A.8 Technological</t>
        </is>
      </c>
      <c r="D91" s="11" t="n"/>
      <c r="E91" s="11" t="n"/>
      <c r="F91" s="11" t="n"/>
      <c r="G91" s="11" t="n"/>
      <c r="H91" s="11" t="n"/>
      <c r="I91" s="11" t="n"/>
      <c r="J91" s="11" t="n"/>
    </row>
    <row r="92">
      <c r="A92" s="10" t="inlineStr">
        <is>
          <t>A.8.21</t>
        </is>
      </c>
      <c r="B92" s="10" t="inlineStr">
        <is>
          <t>Security of network services</t>
        </is>
      </c>
      <c r="C92" s="10" t="inlineStr">
        <is>
          <t>A.8 Technological</t>
        </is>
      </c>
      <c r="D92" s="11" t="n"/>
      <c r="E92" s="11" t="n"/>
      <c r="F92" s="11" t="n"/>
      <c r="G92" s="11" t="n"/>
      <c r="H92" s="11" t="n"/>
      <c r="I92" s="11" t="n"/>
      <c r="J92" s="11" t="n"/>
    </row>
    <row r="93">
      <c r="A93" s="10" t="inlineStr">
        <is>
          <t>A.8.22</t>
        </is>
      </c>
      <c r="B93" s="10" t="inlineStr">
        <is>
          <t>Segregation of networks</t>
        </is>
      </c>
      <c r="C93" s="10" t="inlineStr">
        <is>
          <t>A.8 Technological</t>
        </is>
      </c>
      <c r="D93" s="11" t="n"/>
      <c r="E93" s="11" t="n"/>
      <c r="F93" s="11" t="n"/>
      <c r="G93" s="11" t="n"/>
      <c r="H93" s="11" t="n"/>
      <c r="I93" s="11" t="n"/>
      <c r="J93" s="11" t="n"/>
    </row>
    <row r="94">
      <c r="A94" s="10" t="inlineStr">
        <is>
          <t>A.8.23</t>
        </is>
      </c>
      <c r="B94" s="10" t="inlineStr">
        <is>
          <t>Web filtering</t>
        </is>
      </c>
      <c r="C94" s="10" t="inlineStr">
        <is>
          <t>A.8 Technological</t>
        </is>
      </c>
      <c r="D94" s="11" t="n"/>
      <c r="E94" s="11" t="n"/>
      <c r="F94" s="11" t="n"/>
      <c r="G94" s="11" t="n"/>
      <c r="H94" s="11" t="n"/>
      <c r="I94" s="11" t="n"/>
      <c r="J94" s="11" t="n"/>
    </row>
    <row r="95">
      <c r="A95" s="10" t="inlineStr">
        <is>
          <t>A.8.24</t>
        </is>
      </c>
      <c r="B95" s="10" t="inlineStr">
        <is>
          <t>Use of cryptography</t>
        </is>
      </c>
      <c r="C95" s="10" t="inlineStr">
        <is>
          <t>A.8 Technological</t>
        </is>
      </c>
      <c r="D95" s="11" t="n"/>
      <c r="E95" s="11" t="n"/>
      <c r="F95" s="11" t="n"/>
      <c r="G95" s="11" t="n"/>
      <c r="H95" s="11" t="n"/>
      <c r="I95" s="11" t="n"/>
      <c r="J95" s="11" t="n"/>
    </row>
    <row r="96">
      <c r="A96" s="10" t="inlineStr">
        <is>
          <t>A.8.25</t>
        </is>
      </c>
      <c r="B96" s="10" t="inlineStr">
        <is>
          <t>Secure development life cycle</t>
        </is>
      </c>
      <c r="C96" s="10" t="inlineStr">
        <is>
          <t>A.8 Technological</t>
        </is>
      </c>
      <c r="D96" s="11" t="n"/>
      <c r="E96" s="11" t="n"/>
      <c r="F96" s="11" t="n"/>
      <c r="G96" s="11" t="n"/>
      <c r="H96" s="11" t="n"/>
      <c r="I96" s="11" t="n"/>
      <c r="J96" s="11" t="n"/>
    </row>
    <row r="97">
      <c r="A97" s="10" t="inlineStr">
        <is>
          <t>A.8.26</t>
        </is>
      </c>
      <c r="B97" s="10" t="inlineStr">
        <is>
          <t>Application security requirements</t>
        </is>
      </c>
      <c r="C97" s="10" t="inlineStr">
        <is>
          <t>A.8 Technological</t>
        </is>
      </c>
      <c r="D97" s="11" t="n"/>
      <c r="E97" s="11" t="n"/>
      <c r="F97" s="11" t="n"/>
      <c r="G97" s="11" t="n"/>
      <c r="H97" s="11" t="n"/>
      <c r="I97" s="11" t="n"/>
      <c r="J97" s="11" t="n"/>
    </row>
    <row r="98">
      <c r="A98" s="10" t="inlineStr">
        <is>
          <t>A.8.27</t>
        </is>
      </c>
      <c r="B98" s="10" t="inlineStr">
        <is>
          <t>Secure system architecture and engineering principles</t>
        </is>
      </c>
      <c r="C98" s="10" t="inlineStr">
        <is>
          <t>A.8 Technological</t>
        </is>
      </c>
      <c r="D98" s="11" t="n"/>
      <c r="E98" s="11" t="n"/>
      <c r="F98" s="11" t="n"/>
      <c r="G98" s="11" t="n"/>
      <c r="H98" s="11" t="n"/>
      <c r="I98" s="11" t="n"/>
      <c r="J98" s="11" t="n"/>
    </row>
    <row r="99">
      <c r="A99" s="10" t="inlineStr">
        <is>
          <t>A.8.28</t>
        </is>
      </c>
      <c r="B99" s="10" t="inlineStr">
        <is>
          <t>Secure coding</t>
        </is>
      </c>
      <c r="C99" s="10" t="inlineStr">
        <is>
          <t>A.8 Technological</t>
        </is>
      </c>
      <c r="D99" s="11" t="n"/>
      <c r="E99" s="11" t="n"/>
      <c r="F99" s="11" t="n"/>
      <c r="G99" s="11" t="n"/>
      <c r="H99" s="11" t="n"/>
      <c r="I99" s="11" t="n"/>
      <c r="J99" s="11" t="n"/>
    </row>
    <row r="100">
      <c r="A100" s="10" t="inlineStr">
        <is>
          <t>A.8.29</t>
        </is>
      </c>
      <c r="B100" s="10" t="inlineStr">
        <is>
          <t>Security testing in development and acceptance</t>
        </is>
      </c>
      <c r="C100" s="10" t="inlineStr">
        <is>
          <t>A.8 Technological</t>
        </is>
      </c>
      <c r="D100" s="11" t="n"/>
      <c r="E100" s="11" t="n"/>
      <c r="F100" s="11" t="n"/>
      <c r="G100" s="11" t="n"/>
      <c r="H100" s="11" t="n"/>
      <c r="I100" s="11" t="n"/>
      <c r="J100" s="11" t="n"/>
    </row>
    <row r="101">
      <c r="A101" s="10" t="inlineStr">
        <is>
          <t>A.8.30</t>
        </is>
      </c>
      <c r="B101" s="10" t="inlineStr">
        <is>
          <t>Outsourced development</t>
        </is>
      </c>
      <c r="C101" s="10" t="inlineStr">
        <is>
          <t>A.8 Technological</t>
        </is>
      </c>
      <c r="D101" s="11" t="n"/>
      <c r="E101" s="11" t="n"/>
      <c r="F101" s="11" t="n"/>
      <c r="G101" s="11" t="n"/>
      <c r="H101" s="11" t="n"/>
      <c r="I101" s="11" t="n"/>
      <c r="J101" s="11" t="n"/>
    </row>
    <row r="102">
      <c r="A102" s="10" t="inlineStr">
        <is>
          <t>A.8.31</t>
        </is>
      </c>
      <c r="B102" s="10" t="inlineStr">
        <is>
          <t>Separation of development, test and production environments</t>
        </is>
      </c>
      <c r="C102" s="10" t="inlineStr">
        <is>
          <t>A.8 Technological</t>
        </is>
      </c>
      <c r="D102" s="11" t="n"/>
      <c r="E102" s="11" t="n"/>
      <c r="F102" s="11" t="n"/>
      <c r="G102" s="11" t="n"/>
      <c r="H102" s="11" t="n"/>
      <c r="I102" s="11" t="n"/>
      <c r="J102" s="11" t="n"/>
    </row>
    <row r="103">
      <c r="A103" s="10" t="inlineStr">
        <is>
          <t>A.8.32</t>
        </is>
      </c>
      <c r="B103" s="10" t="inlineStr">
        <is>
          <t>Change management</t>
        </is>
      </c>
      <c r="C103" s="10" t="inlineStr">
        <is>
          <t>A.8 Technological</t>
        </is>
      </c>
      <c r="D103" s="11" t="n"/>
      <c r="E103" s="11" t="n"/>
      <c r="F103" s="11" t="n"/>
      <c r="G103" s="11" t="n"/>
      <c r="H103" s="11" t="n"/>
      <c r="I103" s="11" t="n"/>
      <c r="J103" s="11" t="n"/>
    </row>
    <row r="104">
      <c r="A104" s="10" t="inlineStr">
        <is>
          <t>A.8.33</t>
        </is>
      </c>
      <c r="B104" s="10" t="inlineStr">
        <is>
          <t>Test information</t>
        </is>
      </c>
      <c r="C104" s="10" t="inlineStr">
        <is>
          <t>A.8 Technological</t>
        </is>
      </c>
      <c r="D104" s="11" t="n"/>
      <c r="E104" s="11" t="n"/>
      <c r="F104" s="11" t="n"/>
      <c r="G104" s="11" t="n"/>
      <c r="H104" s="11" t="n"/>
      <c r="I104" s="11" t="n"/>
      <c r="J104" s="11" t="n"/>
    </row>
    <row r="105">
      <c r="A105" s="10" t="inlineStr">
        <is>
          <t>A.8.34</t>
        </is>
      </c>
      <c r="B105" s="10" t="inlineStr">
        <is>
          <t>Protection of information systems during audit testing</t>
        </is>
      </c>
      <c r="C105" s="10" t="inlineStr">
        <is>
          <t>A.8 Technological</t>
        </is>
      </c>
      <c r="D105" s="11" t="n"/>
      <c r="E105" s="11" t="n"/>
      <c r="F105" s="11" t="n"/>
      <c r="G105" s="11" t="n"/>
      <c r="H105" s="11" t="n"/>
      <c r="I105" s="11" t="n"/>
      <c r="J105" s="11" t="n"/>
    </row>
  </sheetData>
  <autoFilter ref="A12:J105"/>
  <mergeCells count="14">
    <mergeCell ref="A4:B4"/>
    <mergeCell ref="C5:E5"/>
    <mergeCell ref="A7:B7"/>
    <mergeCell ref="A9:B9"/>
    <mergeCell ref="A10:B10"/>
    <mergeCell ref="A5:B5"/>
    <mergeCell ref="C8:E8"/>
    <mergeCell ref="C4:E4"/>
    <mergeCell ref="C9:E9"/>
    <mergeCell ref="C7:E7"/>
    <mergeCell ref="A8:B8"/>
    <mergeCell ref="A6:B6"/>
    <mergeCell ref="C6:E6"/>
    <mergeCell ref="C10:E10"/>
  </mergeCells>
  <conditionalFormatting sqref="C4:C10">
    <cfRule type="expression" priority="1" dxfId="0">
      <formula>LEFT(C4,1)="&lt;"</formula>
    </cfRule>
  </conditionalFormatting>
  <conditionalFormatting sqref="D13:J105">
    <cfRule type="expression" priority="2" dxfId="0">
      <formula>ISBLANK(D13)</formula>
    </cfRule>
  </conditionalFormatting>
  <dataValidations count="2">
    <dataValidation sqref="D13:D105" showDropDown="0" showInputMessage="0" showErrorMessage="0" allowBlank="1" type="list">
      <formula1>"Yes,No"</formula1>
    </dataValidation>
    <dataValidation sqref="F13:F105" showDropDown="0" showInputMessage="0" showErrorMessage="0" allowBlank="1" type="list">
      <formula1>"Not started,In progress,Implemented,Not applicable"</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2" t="inlineStr">
        <is>
          <t>Summary</t>
        </is>
      </c>
    </row>
    <row r="2">
      <c r="A2" s="13" t="inlineStr">
        <is>
          <t>Worked out from the Statement of Applicability sheet. Nothing to fill in here.</t>
        </is>
      </c>
    </row>
    <row r="4">
      <c r="A4" s="14" t="inlineStr">
        <is>
          <t>Theme</t>
        </is>
      </c>
      <c r="B4" s="14" t="inlineStr">
        <is>
          <t>Controls</t>
        </is>
      </c>
      <c r="C4" s="14" t="inlineStr">
        <is>
          <t>Applicable</t>
        </is>
      </c>
      <c r="D4" s="14" t="inlineStr">
        <is>
          <t>Not applicable</t>
        </is>
      </c>
      <c r="E4" s="14" t="inlineStr">
        <is>
          <t>Not yet decided</t>
        </is>
      </c>
      <c r="F4" s="14" t="inlineStr">
        <is>
          <t>Implemented</t>
        </is>
      </c>
    </row>
    <row r="5">
      <c r="A5" s="15" t="inlineStr">
        <is>
          <t>A.5 Organizational</t>
        </is>
      </c>
      <c r="B5" s="15">
        <f>COUNTIF('Statement of Applicability'!$C$13:$C$105,A5)</f>
        <v/>
      </c>
      <c r="C5" s="15">
        <f>COUNTIFS('Statement of Applicability'!$C$13:$C$105,A5,'Statement of Applicability'!$D$13:$D$105,"Yes")</f>
        <v/>
      </c>
      <c r="D5" s="15">
        <f>COUNTIFS('Statement of Applicability'!$C$13:$C$105,A5,'Statement of Applicability'!$D$13:$D$105,"No")</f>
        <v/>
      </c>
      <c r="E5" s="15">
        <f>B5-C5-D5</f>
        <v/>
      </c>
      <c r="F5" s="15">
        <f>COUNTIFS('Statement of Applicability'!$C$13:$C$105,A5,'Statement of Applicability'!$F$13:$F$105,"Implemented")</f>
        <v/>
      </c>
    </row>
    <row r="6">
      <c r="A6" s="15" t="inlineStr">
        <is>
          <t>A.6 People</t>
        </is>
      </c>
      <c r="B6" s="15">
        <f>COUNTIF('Statement of Applicability'!$C$13:$C$105,A6)</f>
        <v/>
      </c>
      <c r="C6" s="15">
        <f>COUNTIFS('Statement of Applicability'!$C$13:$C$105,A6,'Statement of Applicability'!$D$13:$D$105,"Yes")</f>
        <v/>
      </c>
      <c r="D6" s="15">
        <f>COUNTIFS('Statement of Applicability'!$C$13:$C$105,A6,'Statement of Applicability'!$D$13:$D$105,"No")</f>
        <v/>
      </c>
      <c r="E6" s="15">
        <f>B6-C6-D6</f>
        <v/>
      </c>
      <c r="F6" s="15">
        <f>COUNTIFS('Statement of Applicability'!$C$13:$C$105,A6,'Statement of Applicability'!$F$13:$F$105,"Implemented")</f>
        <v/>
      </c>
    </row>
    <row r="7">
      <c r="A7" s="15" t="inlineStr">
        <is>
          <t>A.7 Physical</t>
        </is>
      </c>
      <c r="B7" s="15">
        <f>COUNTIF('Statement of Applicability'!$C$13:$C$105,A7)</f>
        <v/>
      </c>
      <c r="C7" s="15">
        <f>COUNTIFS('Statement of Applicability'!$C$13:$C$105,A7,'Statement of Applicability'!$D$13:$D$105,"Yes")</f>
        <v/>
      </c>
      <c r="D7" s="15">
        <f>COUNTIFS('Statement of Applicability'!$C$13:$C$105,A7,'Statement of Applicability'!$D$13:$D$105,"No")</f>
        <v/>
      </c>
      <c r="E7" s="15">
        <f>B7-C7-D7</f>
        <v/>
      </c>
      <c r="F7" s="15">
        <f>COUNTIFS('Statement of Applicability'!$C$13:$C$105,A7,'Statement of Applicability'!$F$13:$F$105,"Implemented")</f>
        <v/>
      </c>
    </row>
    <row r="8">
      <c r="A8" s="15" t="inlineStr">
        <is>
          <t>A.8 Technological</t>
        </is>
      </c>
      <c r="B8" s="15">
        <f>COUNTIF('Statement of Applicability'!$C$13:$C$105,A8)</f>
        <v/>
      </c>
      <c r="C8" s="15">
        <f>COUNTIFS('Statement of Applicability'!$C$13:$C$105,A8,'Statement of Applicability'!$D$13:$D$105,"Yes")</f>
        <v/>
      </c>
      <c r="D8" s="15">
        <f>COUNTIFS('Statement of Applicability'!$C$13:$C$105,A8,'Statement of Applicability'!$D$13:$D$105,"No")</f>
        <v/>
      </c>
      <c r="E8" s="15">
        <f>B8-C8-D8</f>
        <v/>
      </c>
      <c r="F8" s="15">
        <f>COUNTIFS('Statement of Applicability'!$C$13:$C$105,A8,'Statement of Applicability'!$F$13:$F$105,"Implemented")</f>
        <v/>
      </c>
    </row>
    <row r="9">
      <c r="A9" s="16" t="inlineStr">
        <is>
          <t>Total</t>
        </is>
      </c>
      <c r="B9" s="16">
        <f>SUM(B5:B8)</f>
        <v/>
      </c>
      <c r="C9" s="16">
        <f>SUM(C5:C8)</f>
        <v/>
      </c>
      <c r="D9" s="16">
        <f>SUM(D5:D8)</f>
        <v/>
      </c>
      <c r="E9" s="16">
        <f>SUM(E5:E8)</f>
        <v/>
      </c>
      <c r="F9" s="16">
        <f>SUM(F5:F8)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Offset Assure</dc:creator>
  <dc:title xmlns:dc="http://purl.org/dc/elements/1.1/">Statement of Applicability</dc:title>
  <dcterms:created xmlns:dcterms="http://purl.org/dc/terms/" xmlns:xsi="http://www.w3.org/2001/XMLSchema-instance" xsi:type="dcterms:W3CDTF">2026-10-03T01:39:56Z</dcterms:created>
  <dcterms:modified xmlns:dcterms="http://purl.org/dc/terms/" xmlns:xsi="http://www.w3.org/2001/XMLSchema-instance" xsi:type="dcterms:W3CDTF">2026-10-03T01:39:56Z</dcterms:modified>
</cp:coreProperties>
</file>